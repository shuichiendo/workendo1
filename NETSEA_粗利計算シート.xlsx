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ャネル料率" sheetId="1" state="visible" r:id="rId1"/>
    <sheet name="粗利計算" sheetId="2" state="visible" r:id="rId2"/>
    <sheet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¥#,##0"/>
  </numFmts>
  <fonts count="1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C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color rgb="00808080"/>
      <sz val="9"/>
    </font>
    <font>
      <name val="Arial"/>
      <i val="1"/>
      <color rgb="00007000"/>
      <sz val="10"/>
    </font>
    <font>
      <name val="Arial"/>
      <b val="1"/>
      <sz val="11"/>
    </font>
    <font>
      <name val="Arial"/>
      <i val="1"/>
      <color rgb="000000FF"/>
      <sz val="10"/>
    </font>
    <font>
      <name val="Arial"/>
      <b val="1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color rgb="00007000"/>
      <sz val="10"/>
    </font>
    <font>
      <name val="Arial"/>
      <color rgb="009C6500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164" fontId="10" fillId="0" borderId="1" pivotButton="0" quotePrefix="0" xfId="0"/>
    <xf numFmtId="164" fontId="5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5" fillId="4" borderId="1" pivotButton="0" quotePrefix="0" xfId="0"/>
    <xf numFmtId="165" fontId="5" fillId="4" borderId="1" pivotButton="0" quotePrefix="0" xfId="0"/>
    <xf numFmtId="164" fontId="5" fillId="4" borderId="1" pivotButton="0" quotePrefix="0" xfId="0"/>
    <xf numFmtId="0" fontId="8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workendo</author>
  </authors>
  <commentList>
    <comment ref="E2" authorId="0" shapeId="0">
      <text>
        <t>粗利率がこの値以上なら「○(採用)」。提案書の最低粗利15%が既定値。</t>
      </text>
    </comment>
    <comment ref="N4" authorId="0" shapeId="0">
      <text>
        <t>返品損 = 想定返品率 ×（商品原価＋仕入送料）。返送送料も見込む場合は返品率を高めに設定してください。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46" customWidth="1" min="4" max="4"/>
  </cols>
  <sheetData>
    <row r="1">
      <c r="A1" s="1" t="inlineStr">
        <is>
          <t>販売チャネル別 手数料率（目安・要確認）</t>
        </is>
      </c>
    </row>
    <row r="2">
      <c r="A2" s="2" t="inlineStr">
        <is>
          <t>※黄色セルは概算です。実際のご契約プラン・カテゴリの料率に必ず書き換えてください（2026年7月時点の一般的な目安）。</t>
        </is>
      </c>
    </row>
    <row r="4">
      <c r="A4" s="3" t="inlineStr">
        <is>
          <t>チャネル名</t>
        </is>
      </c>
      <c r="B4" s="3" t="inlineStr">
        <is>
          <t>モール手数料率</t>
        </is>
      </c>
      <c r="C4" s="3" t="inlineStr">
        <is>
          <t>決済手数料率</t>
        </is>
      </c>
      <c r="D4" s="3" t="inlineStr">
        <is>
          <t>備考</t>
        </is>
      </c>
    </row>
    <row r="5">
      <c r="A5" s="4" t="inlineStr">
        <is>
          <t>自社サイト(BASE)</t>
        </is>
      </c>
      <c r="B5" s="5" t="n">
        <v>0.03</v>
      </c>
      <c r="C5" s="5" t="n">
        <v>0.036</v>
      </c>
      <c r="D5" s="6" t="inlineStr">
        <is>
          <t>サービス利用料3%+決済3.6%(+40円/件は別途)</t>
        </is>
      </c>
    </row>
    <row r="6">
      <c r="A6" s="4" t="inlineStr">
        <is>
          <t>自社サイト(Stripe)</t>
        </is>
      </c>
      <c r="B6" s="5" t="n">
        <v>0</v>
      </c>
      <c r="C6" s="5" t="n">
        <v>0.036</v>
      </c>
      <c r="D6" s="6" t="inlineStr">
        <is>
          <t>決済のみ。集客・広告費は別途かかる</t>
        </is>
      </c>
    </row>
    <row r="7">
      <c r="A7" s="4" t="inlineStr">
        <is>
          <t>Amazon</t>
        </is>
      </c>
      <c r="B7" s="5" t="n">
        <v>0.15</v>
      </c>
      <c r="C7" s="5" t="n">
        <v>0</v>
      </c>
      <c r="D7" s="6" t="inlineStr">
        <is>
          <t>販売手数料8〜15%(カテゴリ差)。決済は手数料に含む</t>
        </is>
      </c>
    </row>
    <row r="8">
      <c r="A8" s="4" t="inlineStr">
        <is>
          <t>楽天市場</t>
        </is>
      </c>
      <c r="B8" s="5" t="n">
        <v>0.08</v>
      </c>
      <c r="C8" s="5" t="n">
        <v>0.033</v>
      </c>
      <c r="D8" s="6" t="inlineStr">
        <is>
          <t>システム利用料+ポイント原資+アフィリ等の概算</t>
        </is>
      </c>
    </row>
    <row r="9">
      <c r="A9" s="4" t="inlineStr">
        <is>
          <t>Yahoo!ショッピング</t>
        </is>
      </c>
      <c r="B9" s="5" t="n">
        <v>0.03</v>
      </c>
      <c r="C9" s="5" t="n">
        <v>0.035</v>
      </c>
      <c r="D9" s="6" t="inlineStr">
        <is>
          <t>ストアポイント原資+キャンペーン原資+決済の概算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11" customWidth="1" min="5" max="5"/>
    <col width="11" customWidth="1" min="6" max="6"/>
    <col width="10" customWidth="1" min="7" max="7"/>
    <col width="9" customWidth="1" min="8" max="8"/>
    <col width="9" customWidth="1" min="9" max="9"/>
    <col width="8" customWidth="1" min="10" max="10"/>
    <col width="9" customWidth="1" min="11" max="11"/>
    <col width="11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</cols>
  <sheetData>
    <row r="1">
      <c r="A1" s="7" t="inlineStr">
        <is>
          <t>NETSEA ドロップシッピング 粗利計算シート</t>
        </is>
      </c>
    </row>
    <row r="2">
      <c r="A2" s="8" t="inlineStr">
        <is>
          <t>目標粗利率（この値以上を「採用」とする）→</t>
        </is>
      </c>
      <c r="E2" s="5" t="n">
        <v>0.15</v>
      </c>
      <c r="F2" s="9" t="inlineStr">
        <is>
          <t>◎=目標+5%以上 / ○=目標以上 / △=目標未満 / ×=10%未満</t>
        </is>
      </c>
    </row>
    <row r="4" ht="30" customHeight="1">
      <c r="A4" s="10" t="inlineStr">
        <is>
          <t>商品名</t>
        </is>
      </c>
      <c r="B4" s="10" t="inlineStr">
        <is>
          <t>NETSEA商品ID</t>
        </is>
      </c>
      <c r="C4" s="10" t="inlineStr">
        <is>
          <t>サプライヤー</t>
        </is>
      </c>
      <c r="D4" s="10" t="inlineStr">
        <is>
          <t>販売チャネル</t>
        </is>
      </c>
      <c r="E4" s="10" t="inlineStr">
        <is>
          <t>販売価格</t>
        </is>
      </c>
      <c r="F4" s="10" t="inlineStr">
        <is>
          <t>商品原価</t>
        </is>
      </c>
      <c r="G4" s="10" t="inlineStr">
        <is>
          <t>仕入送料</t>
        </is>
      </c>
      <c r="H4" s="10" t="inlineStr">
        <is>
          <t>モール
手数料率</t>
        </is>
      </c>
      <c r="I4" s="10" t="inlineStr">
        <is>
          <t>決済
手数料率</t>
        </is>
      </c>
      <c r="J4" s="10" t="inlineStr">
        <is>
          <t>想定
返品率</t>
        </is>
      </c>
      <c r="K4" s="10" t="inlineStr">
        <is>
          <t>広告費率</t>
        </is>
      </c>
      <c r="L4" s="10" t="inlineStr">
        <is>
          <t>モール
手数料</t>
        </is>
      </c>
      <c r="M4" s="10" t="inlineStr">
        <is>
          <t>決済
手数料</t>
        </is>
      </c>
      <c r="N4" s="10" t="inlineStr">
        <is>
          <t>返品損</t>
        </is>
      </c>
      <c r="O4" s="10" t="inlineStr">
        <is>
          <t>広告費</t>
        </is>
      </c>
      <c r="P4" s="10" t="inlineStr">
        <is>
          <t>総コスト</t>
        </is>
      </c>
      <c r="Q4" s="10" t="inlineStr">
        <is>
          <t>粗利額</t>
        </is>
      </c>
      <c r="R4" s="10" t="inlineStr">
        <is>
          <t>粗利率</t>
        </is>
      </c>
      <c r="S4" s="10" t="inlineStr">
        <is>
          <t>判定</t>
        </is>
      </c>
    </row>
    <row r="5">
      <c r="A5" s="11" t="inlineStr">
        <is>
          <t>（記入例）アロマディフューザー 木目調</t>
        </is>
      </c>
      <c r="B5" s="12" t="inlineStr">
        <is>
          <t>1234567</t>
        </is>
      </c>
      <c r="C5" s="12" t="inlineStr">
        <is>
          <t>〇〇商事</t>
        </is>
      </c>
      <c r="D5" s="12" t="inlineStr">
        <is>
          <t>自社サイト(BASE)</t>
        </is>
      </c>
      <c r="E5" s="13" t="n">
        <v>3980</v>
      </c>
      <c r="F5" s="13" t="n">
        <v>1780</v>
      </c>
      <c r="G5" s="13" t="n">
        <v>500</v>
      </c>
      <c r="H5" s="14">
        <f>IF(D5="","",IFERROR(INDEX(チャネル料率!$B$5:$B$9,MATCH(D5,チャネル料率!$A$5:$A$9,0)),""))</f>
        <v/>
      </c>
      <c r="I5" s="14">
        <f>IF(D5="","",IFERROR(INDEX(チャネル料率!$C$5:$C$9,MATCH(D5,チャネル料率!$A$5:$A$9,0)),""))</f>
        <v/>
      </c>
      <c r="J5" s="15" t="n">
        <v>0.03</v>
      </c>
      <c r="K5" s="15" t="n">
        <v>0.1</v>
      </c>
      <c r="L5" s="16">
        <f>IF(E5="","",E5*H5)</f>
        <v/>
      </c>
      <c r="M5" s="16">
        <f>IF(E5="","",E5*I5)</f>
        <v/>
      </c>
      <c r="N5" s="16">
        <f>IF(E5="","",(F5+G5)*J5)</f>
        <v/>
      </c>
      <c r="O5" s="16">
        <f>IF(E5="","",E5*K5)</f>
        <v/>
      </c>
      <c r="P5" s="16">
        <f>IF(E5="","",F5+G5+L5+M5+N5+O5)</f>
        <v/>
      </c>
      <c r="Q5" s="16">
        <f>IF(E5="","",E5-P5)</f>
        <v/>
      </c>
      <c r="R5" s="17">
        <f>IF(E5="","",IFERROR(Q5/E5,""))</f>
        <v/>
      </c>
      <c r="S5" s="18">
        <f>IF(E5="","",IF(R5&gt;=$E$2+0.05,"◎",IF(R5&gt;=$E$2,"○",IF(R5&gt;=0.1,"△","×"))))</f>
        <v/>
      </c>
    </row>
    <row r="6">
      <c r="A6" s="19" t="n"/>
      <c r="B6" s="19" t="n"/>
      <c r="C6" s="19" t="n"/>
      <c r="D6" s="19" t="n"/>
      <c r="E6" s="20" t="n"/>
      <c r="F6" s="20" t="n"/>
      <c r="G6" s="20" t="n"/>
      <c r="H6" s="14">
        <f>IF(D6="","",IFERROR(INDEX(チャネル料率!$B$5:$B$9,MATCH(D6,チャネル料率!$A$5:$A$9,0)),""))</f>
        <v/>
      </c>
      <c r="I6" s="14">
        <f>IF(D6="","",IFERROR(INDEX(チャネル料率!$C$5:$C$9,MATCH(D6,チャネル料率!$A$5:$A$9,0)),""))</f>
        <v/>
      </c>
      <c r="J6" s="21" t="n"/>
      <c r="K6" s="21" t="n"/>
      <c r="L6" s="16">
        <f>IF(E6="","",E6*H6)</f>
        <v/>
      </c>
      <c r="M6" s="16">
        <f>IF(E6="","",E6*I6)</f>
        <v/>
      </c>
      <c r="N6" s="16">
        <f>IF(E6="","",(F6+G6)*J6)</f>
        <v/>
      </c>
      <c r="O6" s="16">
        <f>IF(E6="","",E6*K6)</f>
        <v/>
      </c>
      <c r="P6" s="16">
        <f>IF(E6="","",F6+G6+L6+M6+N6+O6)</f>
        <v/>
      </c>
      <c r="Q6" s="16">
        <f>IF(E6="","",E6-P6)</f>
        <v/>
      </c>
      <c r="R6" s="17">
        <f>IF(E6="","",IFERROR(Q6/E6,""))</f>
        <v/>
      </c>
      <c r="S6" s="18">
        <f>IF(E6="","",IF(R6&gt;=$E$2+0.05,"◎",IF(R6&gt;=$E$2,"○",IF(R6&gt;=0.1,"△","×"))))</f>
        <v/>
      </c>
    </row>
    <row r="7">
      <c r="A7" s="19" t="n"/>
      <c r="B7" s="19" t="n"/>
      <c r="C7" s="19" t="n"/>
      <c r="D7" s="19" t="n"/>
      <c r="E7" s="20" t="n"/>
      <c r="F7" s="20" t="n"/>
      <c r="G7" s="20" t="n"/>
      <c r="H7" s="14">
        <f>IF(D7="","",IFERROR(INDEX(チャネル料率!$B$5:$B$9,MATCH(D7,チャネル料率!$A$5:$A$9,0)),""))</f>
        <v/>
      </c>
      <c r="I7" s="14">
        <f>IF(D7="","",IFERROR(INDEX(チャネル料率!$C$5:$C$9,MATCH(D7,チャネル料率!$A$5:$A$9,0)),""))</f>
        <v/>
      </c>
      <c r="J7" s="21" t="n"/>
      <c r="K7" s="21" t="n"/>
      <c r="L7" s="16">
        <f>IF(E7="","",E7*H7)</f>
        <v/>
      </c>
      <c r="M7" s="16">
        <f>IF(E7="","",E7*I7)</f>
        <v/>
      </c>
      <c r="N7" s="16">
        <f>IF(E7="","",(F7+G7)*J7)</f>
        <v/>
      </c>
      <c r="O7" s="16">
        <f>IF(E7="","",E7*K7)</f>
        <v/>
      </c>
      <c r="P7" s="16">
        <f>IF(E7="","",F7+G7+L7+M7+N7+O7)</f>
        <v/>
      </c>
      <c r="Q7" s="16">
        <f>IF(E7="","",E7-P7)</f>
        <v/>
      </c>
      <c r="R7" s="17">
        <f>IF(E7="","",IFERROR(Q7/E7,""))</f>
        <v/>
      </c>
      <c r="S7" s="18">
        <f>IF(E7="","",IF(R7&gt;=$E$2+0.05,"◎",IF(R7&gt;=$E$2,"○",IF(R7&gt;=0.1,"△","×"))))</f>
        <v/>
      </c>
    </row>
    <row r="8">
      <c r="A8" s="19" t="n"/>
      <c r="B8" s="19" t="n"/>
      <c r="C8" s="19" t="n"/>
      <c r="D8" s="19" t="n"/>
      <c r="E8" s="20" t="n"/>
      <c r="F8" s="20" t="n"/>
      <c r="G8" s="20" t="n"/>
      <c r="H8" s="14">
        <f>IF(D8="","",IFERROR(INDEX(チャネル料率!$B$5:$B$9,MATCH(D8,チャネル料率!$A$5:$A$9,0)),""))</f>
        <v/>
      </c>
      <c r="I8" s="14">
        <f>IF(D8="","",IFERROR(INDEX(チャネル料率!$C$5:$C$9,MATCH(D8,チャネル料率!$A$5:$A$9,0)),""))</f>
        <v/>
      </c>
      <c r="J8" s="21" t="n"/>
      <c r="K8" s="21" t="n"/>
      <c r="L8" s="16">
        <f>IF(E8="","",E8*H8)</f>
        <v/>
      </c>
      <c r="M8" s="16">
        <f>IF(E8="","",E8*I8)</f>
        <v/>
      </c>
      <c r="N8" s="16">
        <f>IF(E8="","",(F8+G8)*J8)</f>
        <v/>
      </c>
      <c r="O8" s="16">
        <f>IF(E8="","",E8*K8)</f>
        <v/>
      </c>
      <c r="P8" s="16">
        <f>IF(E8="","",F8+G8+L8+M8+N8+O8)</f>
        <v/>
      </c>
      <c r="Q8" s="16">
        <f>IF(E8="","",E8-P8)</f>
        <v/>
      </c>
      <c r="R8" s="17">
        <f>IF(E8="","",IFERROR(Q8/E8,""))</f>
        <v/>
      </c>
      <c r="S8" s="18">
        <f>IF(E8="","",IF(R8&gt;=$E$2+0.05,"◎",IF(R8&gt;=$E$2,"○",IF(R8&gt;=0.1,"△","×"))))</f>
        <v/>
      </c>
    </row>
    <row r="9">
      <c r="A9" s="19" t="n"/>
      <c r="B9" s="19" t="n"/>
      <c r="C9" s="19" t="n"/>
      <c r="D9" s="19" t="n"/>
      <c r="E9" s="20" t="n"/>
      <c r="F9" s="20" t="n"/>
      <c r="G9" s="20" t="n"/>
      <c r="H9" s="14">
        <f>IF(D9="","",IFERROR(INDEX(チャネル料率!$B$5:$B$9,MATCH(D9,チャネル料率!$A$5:$A$9,0)),""))</f>
        <v/>
      </c>
      <c r="I9" s="14">
        <f>IF(D9="","",IFERROR(INDEX(チャネル料率!$C$5:$C$9,MATCH(D9,チャネル料率!$A$5:$A$9,0)),""))</f>
        <v/>
      </c>
      <c r="J9" s="21" t="n"/>
      <c r="K9" s="21" t="n"/>
      <c r="L9" s="16">
        <f>IF(E9="","",E9*H9)</f>
        <v/>
      </c>
      <c r="M9" s="16">
        <f>IF(E9="","",E9*I9)</f>
        <v/>
      </c>
      <c r="N9" s="16">
        <f>IF(E9="","",(F9+G9)*J9)</f>
        <v/>
      </c>
      <c r="O9" s="16">
        <f>IF(E9="","",E9*K9)</f>
        <v/>
      </c>
      <c r="P9" s="16">
        <f>IF(E9="","",F9+G9+L9+M9+N9+O9)</f>
        <v/>
      </c>
      <c r="Q9" s="16">
        <f>IF(E9="","",E9-P9)</f>
        <v/>
      </c>
      <c r="R9" s="17">
        <f>IF(E9="","",IFERROR(Q9/E9,""))</f>
        <v/>
      </c>
      <c r="S9" s="18">
        <f>IF(E9="","",IF(R9&gt;=$E$2+0.05,"◎",IF(R9&gt;=$E$2,"○",IF(R9&gt;=0.1,"△","×"))))</f>
        <v/>
      </c>
    </row>
    <row r="10">
      <c r="A10" s="19" t="n"/>
      <c r="B10" s="19" t="n"/>
      <c r="C10" s="19" t="n"/>
      <c r="D10" s="19" t="n"/>
      <c r="E10" s="20" t="n"/>
      <c r="F10" s="20" t="n"/>
      <c r="G10" s="20" t="n"/>
      <c r="H10" s="14">
        <f>IF(D10="","",IFERROR(INDEX(チャネル料率!$B$5:$B$9,MATCH(D10,チャネル料率!$A$5:$A$9,0)),""))</f>
        <v/>
      </c>
      <c r="I10" s="14">
        <f>IF(D10="","",IFERROR(INDEX(チャネル料率!$C$5:$C$9,MATCH(D10,チャネル料率!$A$5:$A$9,0)),""))</f>
        <v/>
      </c>
      <c r="J10" s="21" t="n"/>
      <c r="K10" s="21" t="n"/>
      <c r="L10" s="16">
        <f>IF(E10="","",E10*H10)</f>
        <v/>
      </c>
      <c r="M10" s="16">
        <f>IF(E10="","",E10*I10)</f>
        <v/>
      </c>
      <c r="N10" s="16">
        <f>IF(E10="","",(F10+G10)*J10)</f>
        <v/>
      </c>
      <c r="O10" s="16">
        <f>IF(E10="","",E10*K10)</f>
        <v/>
      </c>
      <c r="P10" s="16">
        <f>IF(E10="","",F10+G10+L10+M10+N10+O10)</f>
        <v/>
      </c>
      <c r="Q10" s="16">
        <f>IF(E10="","",E10-P10)</f>
        <v/>
      </c>
      <c r="R10" s="17">
        <f>IF(E10="","",IFERROR(Q10/E10,""))</f>
        <v/>
      </c>
      <c r="S10" s="18">
        <f>IF(E10="","",IF(R10&gt;=$E$2+0.05,"◎",IF(R10&gt;=$E$2,"○",IF(R10&gt;=0.1,"△","×"))))</f>
        <v/>
      </c>
    </row>
    <row r="11">
      <c r="A11" s="19" t="n"/>
      <c r="B11" s="19" t="n"/>
      <c r="C11" s="19" t="n"/>
      <c r="D11" s="19" t="n"/>
      <c r="E11" s="20" t="n"/>
      <c r="F11" s="20" t="n"/>
      <c r="G11" s="20" t="n"/>
      <c r="H11" s="14">
        <f>IF(D11="","",IFERROR(INDEX(チャネル料率!$B$5:$B$9,MATCH(D11,チャネル料率!$A$5:$A$9,0)),""))</f>
        <v/>
      </c>
      <c r="I11" s="14">
        <f>IF(D11="","",IFERROR(INDEX(チャネル料率!$C$5:$C$9,MATCH(D11,チャネル料率!$A$5:$A$9,0)),""))</f>
        <v/>
      </c>
      <c r="J11" s="21" t="n"/>
      <c r="K11" s="21" t="n"/>
      <c r="L11" s="16">
        <f>IF(E11="","",E11*H11)</f>
        <v/>
      </c>
      <c r="M11" s="16">
        <f>IF(E11="","",E11*I11)</f>
        <v/>
      </c>
      <c r="N11" s="16">
        <f>IF(E11="","",(F11+G11)*J11)</f>
        <v/>
      </c>
      <c r="O11" s="16">
        <f>IF(E11="","",E11*K11)</f>
        <v/>
      </c>
      <c r="P11" s="16">
        <f>IF(E11="","",F11+G11+L11+M11+N11+O11)</f>
        <v/>
      </c>
      <c r="Q11" s="16">
        <f>IF(E11="","",E11-P11)</f>
        <v/>
      </c>
      <c r="R11" s="17">
        <f>IF(E11="","",IFERROR(Q11/E11,""))</f>
        <v/>
      </c>
      <c r="S11" s="18">
        <f>IF(E11="","",IF(R11&gt;=$E$2+0.05,"◎",IF(R11&gt;=$E$2,"○",IF(R11&gt;=0.1,"△","×"))))</f>
        <v/>
      </c>
    </row>
    <row r="12">
      <c r="A12" s="19" t="n"/>
      <c r="B12" s="19" t="n"/>
      <c r="C12" s="19" t="n"/>
      <c r="D12" s="19" t="n"/>
      <c r="E12" s="20" t="n"/>
      <c r="F12" s="20" t="n"/>
      <c r="G12" s="20" t="n"/>
      <c r="H12" s="14">
        <f>IF(D12="","",IFERROR(INDEX(チャネル料率!$B$5:$B$9,MATCH(D12,チャネル料率!$A$5:$A$9,0)),""))</f>
        <v/>
      </c>
      <c r="I12" s="14">
        <f>IF(D12="","",IFERROR(INDEX(チャネル料率!$C$5:$C$9,MATCH(D12,チャネル料率!$A$5:$A$9,0)),""))</f>
        <v/>
      </c>
      <c r="J12" s="21" t="n"/>
      <c r="K12" s="21" t="n"/>
      <c r="L12" s="16">
        <f>IF(E12="","",E12*H12)</f>
        <v/>
      </c>
      <c r="M12" s="16">
        <f>IF(E12="","",E12*I12)</f>
        <v/>
      </c>
      <c r="N12" s="16">
        <f>IF(E12="","",(F12+G12)*J12)</f>
        <v/>
      </c>
      <c r="O12" s="16">
        <f>IF(E12="","",E12*K12)</f>
        <v/>
      </c>
      <c r="P12" s="16">
        <f>IF(E12="","",F12+G12+L12+M12+N12+O12)</f>
        <v/>
      </c>
      <c r="Q12" s="16">
        <f>IF(E12="","",E12-P12)</f>
        <v/>
      </c>
      <c r="R12" s="17">
        <f>IF(E12="","",IFERROR(Q12/E12,""))</f>
        <v/>
      </c>
      <c r="S12" s="18">
        <f>IF(E12="","",IF(R12&gt;=$E$2+0.05,"◎",IF(R12&gt;=$E$2,"○",IF(R12&gt;=0.1,"△","×"))))</f>
        <v/>
      </c>
    </row>
    <row r="13">
      <c r="A13" s="19" t="n"/>
      <c r="B13" s="19" t="n"/>
      <c r="C13" s="19" t="n"/>
      <c r="D13" s="19" t="n"/>
      <c r="E13" s="20" t="n"/>
      <c r="F13" s="20" t="n"/>
      <c r="G13" s="20" t="n"/>
      <c r="H13" s="14">
        <f>IF(D13="","",IFERROR(INDEX(チャネル料率!$B$5:$B$9,MATCH(D13,チャネル料率!$A$5:$A$9,0)),""))</f>
        <v/>
      </c>
      <c r="I13" s="14">
        <f>IF(D13="","",IFERROR(INDEX(チャネル料率!$C$5:$C$9,MATCH(D13,チャネル料率!$A$5:$A$9,0)),""))</f>
        <v/>
      </c>
      <c r="J13" s="21" t="n"/>
      <c r="K13" s="21" t="n"/>
      <c r="L13" s="16">
        <f>IF(E13="","",E13*H13)</f>
        <v/>
      </c>
      <c r="M13" s="16">
        <f>IF(E13="","",E13*I13)</f>
        <v/>
      </c>
      <c r="N13" s="16">
        <f>IF(E13="","",(F13+G13)*J13)</f>
        <v/>
      </c>
      <c r="O13" s="16">
        <f>IF(E13="","",E13*K13)</f>
        <v/>
      </c>
      <c r="P13" s="16">
        <f>IF(E13="","",F13+G13+L13+M13+N13+O13)</f>
        <v/>
      </c>
      <c r="Q13" s="16">
        <f>IF(E13="","",E13-P13)</f>
        <v/>
      </c>
      <c r="R13" s="17">
        <f>IF(E13="","",IFERROR(Q13/E13,""))</f>
        <v/>
      </c>
      <c r="S13" s="18">
        <f>IF(E13="","",IF(R13&gt;=$E$2+0.05,"◎",IF(R13&gt;=$E$2,"○",IF(R13&gt;=0.1,"△","×"))))</f>
        <v/>
      </c>
    </row>
    <row r="14">
      <c r="A14" s="19" t="n"/>
      <c r="B14" s="19" t="n"/>
      <c r="C14" s="19" t="n"/>
      <c r="D14" s="19" t="n"/>
      <c r="E14" s="20" t="n"/>
      <c r="F14" s="20" t="n"/>
      <c r="G14" s="20" t="n"/>
      <c r="H14" s="14">
        <f>IF(D14="","",IFERROR(INDEX(チャネル料率!$B$5:$B$9,MATCH(D14,チャネル料率!$A$5:$A$9,0)),""))</f>
        <v/>
      </c>
      <c r="I14" s="14">
        <f>IF(D14="","",IFERROR(INDEX(チャネル料率!$C$5:$C$9,MATCH(D14,チャネル料率!$A$5:$A$9,0)),""))</f>
        <v/>
      </c>
      <c r="J14" s="21" t="n"/>
      <c r="K14" s="21" t="n"/>
      <c r="L14" s="16">
        <f>IF(E14="","",E14*H14)</f>
        <v/>
      </c>
      <c r="M14" s="16">
        <f>IF(E14="","",E14*I14)</f>
        <v/>
      </c>
      <c r="N14" s="16">
        <f>IF(E14="","",(F14+G14)*J14)</f>
        <v/>
      </c>
      <c r="O14" s="16">
        <f>IF(E14="","",E14*K14)</f>
        <v/>
      </c>
      <c r="P14" s="16">
        <f>IF(E14="","",F14+G14+L14+M14+N14+O14)</f>
        <v/>
      </c>
      <c r="Q14" s="16">
        <f>IF(E14="","",E14-P14)</f>
        <v/>
      </c>
      <c r="R14" s="17">
        <f>IF(E14="","",IFERROR(Q14/E14,""))</f>
        <v/>
      </c>
      <c r="S14" s="18">
        <f>IF(E14="","",IF(R14&gt;=$E$2+0.05,"◎",IF(R14&gt;=$E$2,"○",IF(R14&gt;=0.1,"△","×"))))</f>
        <v/>
      </c>
    </row>
    <row r="15">
      <c r="A15" s="19" t="n"/>
      <c r="B15" s="19" t="n"/>
      <c r="C15" s="19" t="n"/>
      <c r="D15" s="19" t="n"/>
      <c r="E15" s="20" t="n"/>
      <c r="F15" s="20" t="n"/>
      <c r="G15" s="20" t="n"/>
      <c r="H15" s="14">
        <f>IF(D15="","",IFERROR(INDEX(チャネル料率!$B$5:$B$9,MATCH(D15,チャネル料率!$A$5:$A$9,0)),""))</f>
        <v/>
      </c>
      <c r="I15" s="14">
        <f>IF(D15="","",IFERROR(INDEX(チャネル料率!$C$5:$C$9,MATCH(D15,チャネル料率!$A$5:$A$9,0)),""))</f>
        <v/>
      </c>
      <c r="J15" s="21" t="n"/>
      <c r="K15" s="21" t="n"/>
      <c r="L15" s="16">
        <f>IF(E15="","",E15*H15)</f>
        <v/>
      </c>
      <c r="M15" s="16">
        <f>IF(E15="","",E15*I15)</f>
        <v/>
      </c>
      <c r="N15" s="16">
        <f>IF(E15="","",(F15+G15)*J15)</f>
        <v/>
      </c>
      <c r="O15" s="16">
        <f>IF(E15="","",E15*K15)</f>
        <v/>
      </c>
      <c r="P15" s="16">
        <f>IF(E15="","",F15+G15+L15+M15+N15+O15)</f>
        <v/>
      </c>
      <c r="Q15" s="16">
        <f>IF(E15="","",E15-P15)</f>
        <v/>
      </c>
      <c r="R15" s="17">
        <f>IF(E15="","",IFERROR(Q15/E15,""))</f>
        <v/>
      </c>
      <c r="S15" s="18">
        <f>IF(E15="","",IF(R15&gt;=$E$2+0.05,"◎",IF(R15&gt;=$E$2,"○",IF(R15&gt;=0.1,"△","×"))))</f>
        <v/>
      </c>
    </row>
    <row r="16">
      <c r="A16" s="19" t="n"/>
      <c r="B16" s="19" t="n"/>
      <c r="C16" s="19" t="n"/>
      <c r="D16" s="19" t="n"/>
      <c r="E16" s="20" t="n"/>
      <c r="F16" s="20" t="n"/>
      <c r="G16" s="20" t="n"/>
      <c r="H16" s="14">
        <f>IF(D16="","",IFERROR(INDEX(チャネル料率!$B$5:$B$9,MATCH(D16,チャネル料率!$A$5:$A$9,0)),""))</f>
        <v/>
      </c>
      <c r="I16" s="14">
        <f>IF(D16="","",IFERROR(INDEX(チャネル料率!$C$5:$C$9,MATCH(D16,チャネル料率!$A$5:$A$9,0)),""))</f>
        <v/>
      </c>
      <c r="J16" s="21" t="n"/>
      <c r="K16" s="21" t="n"/>
      <c r="L16" s="16">
        <f>IF(E16="","",E16*H16)</f>
        <v/>
      </c>
      <c r="M16" s="16">
        <f>IF(E16="","",E16*I16)</f>
        <v/>
      </c>
      <c r="N16" s="16">
        <f>IF(E16="","",(F16+G16)*J16)</f>
        <v/>
      </c>
      <c r="O16" s="16">
        <f>IF(E16="","",E16*K16)</f>
        <v/>
      </c>
      <c r="P16" s="16">
        <f>IF(E16="","",F16+G16+L16+M16+N16+O16)</f>
        <v/>
      </c>
      <c r="Q16" s="16">
        <f>IF(E16="","",E16-P16)</f>
        <v/>
      </c>
      <c r="R16" s="17">
        <f>IF(E16="","",IFERROR(Q16/E16,""))</f>
        <v/>
      </c>
      <c r="S16" s="18">
        <f>IF(E16="","",IF(R16&gt;=$E$2+0.05,"◎",IF(R16&gt;=$E$2,"○",IF(R16&gt;=0.1,"△","×"))))</f>
        <v/>
      </c>
    </row>
    <row r="17">
      <c r="A17" s="19" t="n"/>
      <c r="B17" s="19" t="n"/>
      <c r="C17" s="19" t="n"/>
      <c r="D17" s="19" t="n"/>
      <c r="E17" s="20" t="n"/>
      <c r="F17" s="20" t="n"/>
      <c r="G17" s="20" t="n"/>
      <c r="H17" s="14">
        <f>IF(D17="","",IFERROR(INDEX(チャネル料率!$B$5:$B$9,MATCH(D17,チャネル料率!$A$5:$A$9,0)),""))</f>
        <v/>
      </c>
      <c r="I17" s="14">
        <f>IF(D17="","",IFERROR(INDEX(チャネル料率!$C$5:$C$9,MATCH(D17,チャネル料率!$A$5:$A$9,0)),""))</f>
        <v/>
      </c>
      <c r="J17" s="21" t="n"/>
      <c r="K17" s="21" t="n"/>
      <c r="L17" s="16">
        <f>IF(E17="","",E17*H17)</f>
        <v/>
      </c>
      <c r="M17" s="16">
        <f>IF(E17="","",E17*I17)</f>
        <v/>
      </c>
      <c r="N17" s="16">
        <f>IF(E17="","",(F17+G17)*J17)</f>
        <v/>
      </c>
      <c r="O17" s="16">
        <f>IF(E17="","",E17*K17)</f>
        <v/>
      </c>
      <c r="P17" s="16">
        <f>IF(E17="","",F17+G17+L17+M17+N17+O17)</f>
        <v/>
      </c>
      <c r="Q17" s="16">
        <f>IF(E17="","",E17-P17)</f>
        <v/>
      </c>
      <c r="R17" s="17">
        <f>IF(E17="","",IFERROR(Q17/E17,""))</f>
        <v/>
      </c>
      <c r="S17" s="18">
        <f>IF(E17="","",IF(R17&gt;=$E$2+0.05,"◎",IF(R17&gt;=$E$2,"○",IF(R17&gt;=0.1,"△","×"))))</f>
        <v/>
      </c>
    </row>
    <row r="18">
      <c r="A18" s="19" t="n"/>
      <c r="B18" s="19" t="n"/>
      <c r="C18" s="19" t="n"/>
      <c r="D18" s="19" t="n"/>
      <c r="E18" s="20" t="n"/>
      <c r="F18" s="20" t="n"/>
      <c r="G18" s="20" t="n"/>
      <c r="H18" s="14">
        <f>IF(D18="","",IFERROR(INDEX(チャネル料率!$B$5:$B$9,MATCH(D18,チャネル料率!$A$5:$A$9,0)),""))</f>
        <v/>
      </c>
      <c r="I18" s="14">
        <f>IF(D18="","",IFERROR(INDEX(チャネル料率!$C$5:$C$9,MATCH(D18,チャネル料率!$A$5:$A$9,0)),""))</f>
        <v/>
      </c>
      <c r="J18" s="21" t="n"/>
      <c r="K18" s="21" t="n"/>
      <c r="L18" s="16">
        <f>IF(E18="","",E18*H18)</f>
        <v/>
      </c>
      <c r="M18" s="16">
        <f>IF(E18="","",E18*I18)</f>
        <v/>
      </c>
      <c r="N18" s="16">
        <f>IF(E18="","",(F18+G18)*J18)</f>
        <v/>
      </c>
      <c r="O18" s="16">
        <f>IF(E18="","",E18*K18)</f>
        <v/>
      </c>
      <c r="P18" s="16">
        <f>IF(E18="","",F18+G18+L18+M18+N18+O18)</f>
        <v/>
      </c>
      <c r="Q18" s="16">
        <f>IF(E18="","",E18-P18)</f>
        <v/>
      </c>
      <c r="R18" s="17">
        <f>IF(E18="","",IFERROR(Q18/E18,""))</f>
        <v/>
      </c>
      <c r="S18" s="18">
        <f>IF(E18="","",IF(R18&gt;=$E$2+0.05,"◎",IF(R18&gt;=$E$2,"○",IF(R18&gt;=0.1,"△","×"))))</f>
        <v/>
      </c>
    </row>
    <row r="19">
      <c r="A19" s="19" t="n"/>
      <c r="B19" s="19" t="n"/>
      <c r="C19" s="19" t="n"/>
      <c r="D19" s="19" t="n"/>
      <c r="E19" s="20" t="n"/>
      <c r="F19" s="20" t="n"/>
      <c r="G19" s="20" t="n"/>
      <c r="H19" s="14">
        <f>IF(D19="","",IFERROR(INDEX(チャネル料率!$B$5:$B$9,MATCH(D19,チャネル料率!$A$5:$A$9,0)),""))</f>
        <v/>
      </c>
      <c r="I19" s="14">
        <f>IF(D19="","",IFERROR(INDEX(チャネル料率!$C$5:$C$9,MATCH(D19,チャネル料率!$A$5:$A$9,0)),""))</f>
        <v/>
      </c>
      <c r="J19" s="21" t="n"/>
      <c r="K19" s="21" t="n"/>
      <c r="L19" s="16">
        <f>IF(E19="","",E19*H19)</f>
        <v/>
      </c>
      <c r="M19" s="16">
        <f>IF(E19="","",E19*I19)</f>
        <v/>
      </c>
      <c r="N19" s="16">
        <f>IF(E19="","",(F19+G19)*J19)</f>
        <v/>
      </c>
      <c r="O19" s="16">
        <f>IF(E19="","",E19*K19)</f>
        <v/>
      </c>
      <c r="P19" s="16">
        <f>IF(E19="","",F19+G19+L19+M19+N19+O19)</f>
        <v/>
      </c>
      <c r="Q19" s="16">
        <f>IF(E19="","",E19-P19)</f>
        <v/>
      </c>
      <c r="R19" s="17">
        <f>IF(E19="","",IFERROR(Q19/E19,""))</f>
        <v/>
      </c>
      <c r="S19" s="18">
        <f>IF(E19="","",IF(R19&gt;=$E$2+0.05,"◎",IF(R19&gt;=$E$2,"○",IF(R19&gt;=0.1,"△","×"))))</f>
        <v/>
      </c>
    </row>
    <row r="20">
      <c r="A20" s="19" t="n"/>
      <c r="B20" s="19" t="n"/>
      <c r="C20" s="19" t="n"/>
      <c r="D20" s="19" t="n"/>
      <c r="E20" s="20" t="n"/>
      <c r="F20" s="20" t="n"/>
      <c r="G20" s="20" t="n"/>
      <c r="H20" s="14">
        <f>IF(D20="","",IFERROR(INDEX(チャネル料率!$B$5:$B$9,MATCH(D20,チャネル料率!$A$5:$A$9,0)),""))</f>
        <v/>
      </c>
      <c r="I20" s="14">
        <f>IF(D20="","",IFERROR(INDEX(チャネル料率!$C$5:$C$9,MATCH(D20,チャネル料率!$A$5:$A$9,0)),""))</f>
        <v/>
      </c>
      <c r="J20" s="21" t="n"/>
      <c r="K20" s="21" t="n"/>
      <c r="L20" s="16">
        <f>IF(E20="","",E20*H20)</f>
        <v/>
      </c>
      <c r="M20" s="16">
        <f>IF(E20="","",E20*I20)</f>
        <v/>
      </c>
      <c r="N20" s="16">
        <f>IF(E20="","",(F20+G20)*J20)</f>
        <v/>
      </c>
      <c r="O20" s="16">
        <f>IF(E20="","",E20*K20)</f>
        <v/>
      </c>
      <c r="P20" s="16">
        <f>IF(E20="","",F20+G20+L20+M20+N20+O20)</f>
        <v/>
      </c>
      <c r="Q20" s="16">
        <f>IF(E20="","",E20-P20)</f>
        <v/>
      </c>
      <c r="R20" s="17">
        <f>IF(E20="","",IFERROR(Q20/E20,""))</f>
        <v/>
      </c>
      <c r="S20" s="18">
        <f>IF(E20="","",IF(R20&gt;=$E$2+0.05,"◎",IF(R20&gt;=$E$2,"○",IF(R20&gt;=0.1,"△","×"))))</f>
        <v/>
      </c>
    </row>
    <row r="21">
      <c r="A21" s="19" t="n"/>
      <c r="B21" s="19" t="n"/>
      <c r="C21" s="19" t="n"/>
      <c r="D21" s="19" t="n"/>
      <c r="E21" s="20" t="n"/>
      <c r="F21" s="20" t="n"/>
      <c r="G21" s="20" t="n"/>
      <c r="H21" s="14">
        <f>IF(D21="","",IFERROR(INDEX(チャネル料率!$B$5:$B$9,MATCH(D21,チャネル料率!$A$5:$A$9,0)),""))</f>
        <v/>
      </c>
      <c r="I21" s="14">
        <f>IF(D21="","",IFERROR(INDEX(チャネル料率!$C$5:$C$9,MATCH(D21,チャネル料率!$A$5:$A$9,0)),""))</f>
        <v/>
      </c>
      <c r="J21" s="21" t="n"/>
      <c r="K21" s="21" t="n"/>
      <c r="L21" s="16">
        <f>IF(E21="","",E21*H21)</f>
        <v/>
      </c>
      <c r="M21" s="16">
        <f>IF(E21="","",E21*I21)</f>
        <v/>
      </c>
      <c r="N21" s="16">
        <f>IF(E21="","",(F21+G21)*J21)</f>
        <v/>
      </c>
      <c r="O21" s="16">
        <f>IF(E21="","",E21*K21)</f>
        <v/>
      </c>
      <c r="P21" s="16">
        <f>IF(E21="","",F21+G21+L21+M21+N21+O21)</f>
        <v/>
      </c>
      <c r="Q21" s="16">
        <f>IF(E21="","",E21-P21)</f>
        <v/>
      </c>
      <c r="R21" s="17">
        <f>IF(E21="","",IFERROR(Q21/E21,""))</f>
        <v/>
      </c>
      <c r="S21" s="18">
        <f>IF(E21="","",IF(R21&gt;=$E$2+0.05,"◎",IF(R21&gt;=$E$2,"○",IF(R21&gt;=0.1,"△","×"))))</f>
        <v/>
      </c>
    </row>
    <row r="22">
      <c r="A22" s="19" t="n"/>
      <c r="B22" s="19" t="n"/>
      <c r="C22" s="19" t="n"/>
      <c r="D22" s="19" t="n"/>
      <c r="E22" s="20" t="n"/>
      <c r="F22" s="20" t="n"/>
      <c r="G22" s="20" t="n"/>
      <c r="H22" s="14">
        <f>IF(D22="","",IFERROR(INDEX(チャネル料率!$B$5:$B$9,MATCH(D22,チャネル料率!$A$5:$A$9,0)),""))</f>
        <v/>
      </c>
      <c r="I22" s="14">
        <f>IF(D22="","",IFERROR(INDEX(チャネル料率!$C$5:$C$9,MATCH(D22,チャネル料率!$A$5:$A$9,0)),""))</f>
        <v/>
      </c>
      <c r="J22" s="21" t="n"/>
      <c r="K22" s="21" t="n"/>
      <c r="L22" s="16">
        <f>IF(E22="","",E22*H22)</f>
        <v/>
      </c>
      <c r="M22" s="16">
        <f>IF(E22="","",E22*I22)</f>
        <v/>
      </c>
      <c r="N22" s="16">
        <f>IF(E22="","",(F22+G22)*J22)</f>
        <v/>
      </c>
      <c r="O22" s="16">
        <f>IF(E22="","",E22*K22)</f>
        <v/>
      </c>
      <c r="P22" s="16">
        <f>IF(E22="","",F22+G22+L22+M22+N22+O22)</f>
        <v/>
      </c>
      <c r="Q22" s="16">
        <f>IF(E22="","",E22-P22)</f>
        <v/>
      </c>
      <c r="R22" s="17">
        <f>IF(E22="","",IFERROR(Q22/E22,""))</f>
        <v/>
      </c>
      <c r="S22" s="18">
        <f>IF(E22="","",IF(R22&gt;=$E$2+0.05,"◎",IF(R22&gt;=$E$2,"○",IF(R22&gt;=0.1,"△","×"))))</f>
        <v/>
      </c>
    </row>
    <row r="23">
      <c r="A23" s="19" t="n"/>
      <c r="B23" s="19" t="n"/>
      <c r="C23" s="19" t="n"/>
      <c r="D23" s="19" t="n"/>
      <c r="E23" s="20" t="n"/>
      <c r="F23" s="20" t="n"/>
      <c r="G23" s="20" t="n"/>
      <c r="H23" s="14">
        <f>IF(D23="","",IFERROR(INDEX(チャネル料率!$B$5:$B$9,MATCH(D23,チャネル料率!$A$5:$A$9,0)),""))</f>
        <v/>
      </c>
      <c r="I23" s="14">
        <f>IF(D23="","",IFERROR(INDEX(チャネル料率!$C$5:$C$9,MATCH(D23,チャネル料率!$A$5:$A$9,0)),""))</f>
        <v/>
      </c>
      <c r="J23" s="21" t="n"/>
      <c r="K23" s="21" t="n"/>
      <c r="L23" s="16">
        <f>IF(E23="","",E23*H23)</f>
        <v/>
      </c>
      <c r="M23" s="16">
        <f>IF(E23="","",E23*I23)</f>
        <v/>
      </c>
      <c r="N23" s="16">
        <f>IF(E23="","",(F23+G23)*J23)</f>
        <v/>
      </c>
      <c r="O23" s="16">
        <f>IF(E23="","",E23*K23)</f>
        <v/>
      </c>
      <c r="P23" s="16">
        <f>IF(E23="","",F23+G23+L23+M23+N23+O23)</f>
        <v/>
      </c>
      <c r="Q23" s="16">
        <f>IF(E23="","",E23-P23)</f>
        <v/>
      </c>
      <c r="R23" s="17">
        <f>IF(E23="","",IFERROR(Q23/E23,""))</f>
        <v/>
      </c>
      <c r="S23" s="18">
        <f>IF(E23="","",IF(R23&gt;=$E$2+0.05,"◎",IF(R23&gt;=$E$2,"○",IF(R23&gt;=0.1,"△","×"))))</f>
        <v/>
      </c>
    </row>
    <row r="24">
      <c r="A24" s="19" t="n"/>
      <c r="B24" s="19" t="n"/>
      <c r="C24" s="19" t="n"/>
      <c r="D24" s="19" t="n"/>
      <c r="E24" s="20" t="n"/>
      <c r="F24" s="20" t="n"/>
      <c r="G24" s="20" t="n"/>
      <c r="H24" s="14">
        <f>IF(D24="","",IFERROR(INDEX(チャネル料率!$B$5:$B$9,MATCH(D24,チャネル料率!$A$5:$A$9,0)),""))</f>
        <v/>
      </c>
      <c r="I24" s="14">
        <f>IF(D24="","",IFERROR(INDEX(チャネル料率!$C$5:$C$9,MATCH(D24,チャネル料率!$A$5:$A$9,0)),""))</f>
        <v/>
      </c>
      <c r="J24" s="21" t="n"/>
      <c r="K24" s="21" t="n"/>
      <c r="L24" s="16">
        <f>IF(E24="","",E24*H24)</f>
        <v/>
      </c>
      <c r="M24" s="16">
        <f>IF(E24="","",E24*I24)</f>
        <v/>
      </c>
      <c r="N24" s="16">
        <f>IF(E24="","",(F24+G24)*J24)</f>
        <v/>
      </c>
      <c r="O24" s="16">
        <f>IF(E24="","",E24*K24)</f>
        <v/>
      </c>
      <c r="P24" s="16">
        <f>IF(E24="","",F24+G24+L24+M24+N24+O24)</f>
        <v/>
      </c>
      <c r="Q24" s="16">
        <f>IF(E24="","",E24-P24)</f>
        <v/>
      </c>
      <c r="R24" s="17">
        <f>IF(E24="","",IFERROR(Q24/E24,""))</f>
        <v/>
      </c>
      <c r="S24" s="18">
        <f>IF(E24="","",IF(R24&gt;=$E$2+0.05,"◎",IF(R24&gt;=$E$2,"○",IF(R24&gt;=0.1,"△","×"))))</f>
        <v/>
      </c>
    </row>
    <row r="25">
      <c r="A25" s="19" t="n"/>
      <c r="B25" s="19" t="n"/>
      <c r="C25" s="19" t="n"/>
      <c r="D25" s="19" t="n"/>
      <c r="E25" s="20" t="n"/>
      <c r="F25" s="20" t="n"/>
      <c r="G25" s="20" t="n"/>
      <c r="H25" s="14">
        <f>IF(D25="","",IFERROR(INDEX(チャネル料率!$B$5:$B$9,MATCH(D25,チャネル料率!$A$5:$A$9,0)),""))</f>
        <v/>
      </c>
      <c r="I25" s="14">
        <f>IF(D25="","",IFERROR(INDEX(チャネル料率!$C$5:$C$9,MATCH(D25,チャネル料率!$A$5:$A$9,0)),""))</f>
        <v/>
      </c>
      <c r="J25" s="21" t="n"/>
      <c r="K25" s="21" t="n"/>
      <c r="L25" s="16">
        <f>IF(E25="","",E25*H25)</f>
        <v/>
      </c>
      <c r="M25" s="16">
        <f>IF(E25="","",E25*I25)</f>
        <v/>
      </c>
      <c r="N25" s="16">
        <f>IF(E25="","",(F25+G25)*J25)</f>
        <v/>
      </c>
      <c r="O25" s="16">
        <f>IF(E25="","",E25*K25)</f>
        <v/>
      </c>
      <c r="P25" s="16">
        <f>IF(E25="","",F25+G25+L25+M25+N25+O25)</f>
        <v/>
      </c>
      <c r="Q25" s="16">
        <f>IF(E25="","",E25-P25)</f>
        <v/>
      </c>
      <c r="R25" s="17">
        <f>IF(E25="","",IFERROR(Q25/E25,""))</f>
        <v/>
      </c>
      <c r="S25" s="18">
        <f>IF(E25="","",IF(R25&gt;=$E$2+0.05,"◎",IF(R25&gt;=$E$2,"○",IF(R25&gt;=0.1,"△","×"))))</f>
        <v/>
      </c>
    </row>
    <row r="26">
      <c r="A26" s="19" t="n"/>
      <c r="B26" s="19" t="n"/>
      <c r="C26" s="19" t="n"/>
      <c r="D26" s="19" t="n"/>
      <c r="E26" s="20" t="n"/>
      <c r="F26" s="20" t="n"/>
      <c r="G26" s="20" t="n"/>
      <c r="H26" s="14">
        <f>IF(D26="","",IFERROR(INDEX(チャネル料率!$B$5:$B$9,MATCH(D26,チャネル料率!$A$5:$A$9,0)),""))</f>
        <v/>
      </c>
      <c r="I26" s="14">
        <f>IF(D26="","",IFERROR(INDEX(チャネル料率!$C$5:$C$9,MATCH(D26,チャネル料率!$A$5:$A$9,0)),""))</f>
        <v/>
      </c>
      <c r="J26" s="21" t="n"/>
      <c r="K26" s="21" t="n"/>
      <c r="L26" s="16">
        <f>IF(E26="","",E26*H26)</f>
        <v/>
      </c>
      <c r="M26" s="16">
        <f>IF(E26="","",E26*I26)</f>
        <v/>
      </c>
      <c r="N26" s="16">
        <f>IF(E26="","",(F26+G26)*J26)</f>
        <v/>
      </c>
      <c r="O26" s="16">
        <f>IF(E26="","",E26*K26)</f>
        <v/>
      </c>
      <c r="P26" s="16">
        <f>IF(E26="","",F26+G26+L26+M26+N26+O26)</f>
        <v/>
      </c>
      <c r="Q26" s="16">
        <f>IF(E26="","",E26-P26)</f>
        <v/>
      </c>
      <c r="R26" s="17">
        <f>IF(E26="","",IFERROR(Q26/E26,""))</f>
        <v/>
      </c>
      <c r="S26" s="18">
        <f>IF(E26="","",IF(R26&gt;=$E$2+0.05,"◎",IF(R26&gt;=$E$2,"○",IF(R26&gt;=0.1,"△","×"))))</f>
        <v/>
      </c>
    </row>
    <row r="27">
      <c r="A27" s="19" t="n"/>
      <c r="B27" s="19" t="n"/>
      <c r="C27" s="19" t="n"/>
      <c r="D27" s="19" t="n"/>
      <c r="E27" s="20" t="n"/>
      <c r="F27" s="20" t="n"/>
      <c r="G27" s="20" t="n"/>
      <c r="H27" s="14">
        <f>IF(D27="","",IFERROR(INDEX(チャネル料率!$B$5:$B$9,MATCH(D27,チャネル料率!$A$5:$A$9,0)),""))</f>
        <v/>
      </c>
      <c r="I27" s="14">
        <f>IF(D27="","",IFERROR(INDEX(チャネル料率!$C$5:$C$9,MATCH(D27,チャネル料率!$A$5:$A$9,0)),""))</f>
        <v/>
      </c>
      <c r="J27" s="21" t="n"/>
      <c r="K27" s="21" t="n"/>
      <c r="L27" s="16">
        <f>IF(E27="","",E27*H27)</f>
        <v/>
      </c>
      <c r="M27" s="16">
        <f>IF(E27="","",E27*I27)</f>
        <v/>
      </c>
      <c r="N27" s="16">
        <f>IF(E27="","",(F27+G27)*J27)</f>
        <v/>
      </c>
      <c r="O27" s="16">
        <f>IF(E27="","",E27*K27)</f>
        <v/>
      </c>
      <c r="P27" s="16">
        <f>IF(E27="","",F27+G27+L27+M27+N27+O27)</f>
        <v/>
      </c>
      <c r="Q27" s="16">
        <f>IF(E27="","",E27-P27)</f>
        <v/>
      </c>
      <c r="R27" s="17">
        <f>IF(E27="","",IFERROR(Q27/E27,""))</f>
        <v/>
      </c>
      <c r="S27" s="18">
        <f>IF(E27="","",IF(R27&gt;=$E$2+0.05,"◎",IF(R27&gt;=$E$2,"○",IF(R27&gt;=0.1,"△","×"))))</f>
        <v/>
      </c>
    </row>
    <row r="28">
      <c r="A28" s="19" t="n"/>
      <c r="B28" s="19" t="n"/>
      <c r="C28" s="19" t="n"/>
      <c r="D28" s="19" t="n"/>
      <c r="E28" s="20" t="n"/>
      <c r="F28" s="20" t="n"/>
      <c r="G28" s="20" t="n"/>
      <c r="H28" s="14">
        <f>IF(D28="","",IFERROR(INDEX(チャネル料率!$B$5:$B$9,MATCH(D28,チャネル料率!$A$5:$A$9,0)),""))</f>
        <v/>
      </c>
      <c r="I28" s="14">
        <f>IF(D28="","",IFERROR(INDEX(チャネル料率!$C$5:$C$9,MATCH(D28,チャネル料率!$A$5:$A$9,0)),""))</f>
        <v/>
      </c>
      <c r="J28" s="21" t="n"/>
      <c r="K28" s="21" t="n"/>
      <c r="L28" s="16">
        <f>IF(E28="","",E28*H28)</f>
        <v/>
      </c>
      <c r="M28" s="16">
        <f>IF(E28="","",E28*I28)</f>
        <v/>
      </c>
      <c r="N28" s="16">
        <f>IF(E28="","",(F28+G28)*J28)</f>
        <v/>
      </c>
      <c r="O28" s="16">
        <f>IF(E28="","",E28*K28)</f>
        <v/>
      </c>
      <c r="P28" s="16">
        <f>IF(E28="","",F28+G28+L28+M28+N28+O28)</f>
        <v/>
      </c>
      <c r="Q28" s="16">
        <f>IF(E28="","",E28-P28)</f>
        <v/>
      </c>
      <c r="R28" s="17">
        <f>IF(E28="","",IFERROR(Q28/E28,""))</f>
        <v/>
      </c>
      <c r="S28" s="18">
        <f>IF(E28="","",IF(R28&gt;=$E$2+0.05,"◎",IF(R28&gt;=$E$2,"○",IF(R28&gt;=0.1,"△","×"))))</f>
        <v/>
      </c>
    </row>
    <row r="29">
      <c r="A29" s="19" t="n"/>
      <c r="B29" s="19" t="n"/>
      <c r="C29" s="19" t="n"/>
      <c r="D29" s="19" t="n"/>
      <c r="E29" s="20" t="n"/>
      <c r="F29" s="20" t="n"/>
      <c r="G29" s="20" t="n"/>
      <c r="H29" s="14">
        <f>IF(D29="","",IFERROR(INDEX(チャネル料率!$B$5:$B$9,MATCH(D29,チャネル料率!$A$5:$A$9,0)),""))</f>
        <v/>
      </c>
      <c r="I29" s="14">
        <f>IF(D29="","",IFERROR(INDEX(チャネル料率!$C$5:$C$9,MATCH(D29,チャネル料率!$A$5:$A$9,0)),""))</f>
        <v/>
      </c>
      <c r="J29" s="21" t="n"/>
      <c r="K29" s="21" t="n"/>
      <c r="L29" s="16">
        <f>IF(E29="","",E29*H29)</f>
        <v/>
      </c>
      <c r="M29" s="16">
        <f>IF(E29="","",E29*I29)</f>
        <v/>
      </c>
      <c r="N29" s="16">
        <f>IF(E29="","",(F29+G29)*J29)</f>
        <v/>
      </c>
      <c r="O29" s="16">
        <f>IF(E29="","",E29*K29)</f>
        <v/>
      </c>
      <c r="P29" s="16">
        <f>IF(E29="","",F29+G29+L29+M29+N29+O29)</f>
        <v/>
      </c>
      <c r="Q29" s="16">
        <f>IF(E29="","",E29-P29)</f>
        <v/>
      </c>
      <c r="R29" s="17">
        <f>IF(E29="","",IFERROR(Q29/E29,""))</f>
        <v/>
      </c>
      <c r="S29" s="18">
        <f>IF(E29="","",IF(R29&gt;=$E$2+0.05,"◎",IF(R29&gt;=$E$2,"○",IF(R29&gt;=0.1,"△","×"))))</f>
        <v/>
      </c>
    </row>
    <row r="30">
      <c r="A30" s="19" t="n"/>
      <c r="B30" s="19" t="n"/>
      <c r="C30" s="19" t="n"/>
      <c r="D30" s="19" t="n"/>
      <c r="E30" s="20" t="n"/>
      <c r="F30" s="20" t="n"/>
      <c r="G30" s="20" t="n"/>
      <c r="H30" s="14">
        <f>IF(D30="","",IFERROR(INDEX(チャネル料率!$B$5:$B$9,MATCH(D30,チャネル料率!$A$5:$A$9,0)),""))</f>
        <v/>
      </c>
      <c r="I30" s="14">
        <f>IF(D30="","",IFERROR(INDEX(チャネル料率!$C$5:$C$9,MATCH(D30,チャネル料率!$A$5:$A$9,0)),""))</f>
        <v/>
      </c>
      <c r="J30" s="21" t="n"/>
      <c r="K30" s="21" t="n"/>
      <c r="L30" s="16">
        <f>IF(E30="","",E30*H30)</f>
        <v/>
      </c>
      <c r="M30" s="16">
        <f>IF(E30="","",E30*I30)</f>
        <v/>
      </c>
      <c r="N30" s="16">
        <f>IF(E30="","",(F30+G30)*J30)</f>
        <v/>
      </c>
      <c r="O30" s="16">
        <f>IF(E30="","",E30*K30)</f>
        <v/>
      </c>
      <c r="P30" s="16">
        <f>IF(E30="","",F30+G30+L30+M30+N30+O30)</f>
        <v/>
      </c>
      <c r="Q30" s="16">
        <f>IF(E30="","",E30-P30)</f>
        <v/>
      </c>
      <c r="R30" s="17">
        <f>IF(E30="","",IFERROR(Q30/E30,""))</f>
        <v/>
      </c>
      <c r="S30" s="18">
        <f>IF(E30="","",IF(R30&gt;=$E$2+0.05,"◎",IF(R30&gt;=$E$2,"○",IF(R30&gt;=0.1,"△","×"))))</f>
        <v/>
      </c>
    </row>
    <row r="31">
      <c r="A31" s="19" t="n"/>
      <c r="B31" s="19" t="n"/>
      <c r="C31" s="19" t="n"/>
      <c r="D31" s="19" t="n"/>
      <c r="E31" s="20" t="n"/>
      <c r="F31" s="20" t="n"/>
      <c r="G31" s="20" t="n"/>
      <c r="H31" s="14">
        <f>IF(D31="","",IFERROR(INDEX(チャネル料率!$B$5:$B$9,MATCH(D31,チャネル料率!$A$5:$A$9,0)),""))</f>
        <v/>
      </c>
      <c r="I31" s="14">
        <f>IF(D31="","",IFERROR(INDEX(チャネル料率!$C$5:$C$9,MATCH(D31,チャネル料率!$A$5:$A$9,0)),""))</f>
        <v/>
      </c>
      <c r="J31" s="21" t="n"/>
      <c r="K31" s="21" t="n"/>
      <c r="L31" s="16">
        <f>IF(E31="","",E31*H31)</f>
        <v/>
      </c>
      <c r="M31" s="16">
        <f>IF(E31="","",E31*I31)</f>
        <v/>
      </c>
      <c r="N31" s="16">
        <f>IF(E31="","",(F31+G31)*J31)</f>
        <v/>
      </c>
      <c r="O31" s="16">
        <f>IF(E31="","",E31*K31)</f>
        <v/>
      </c>
      <c r="P31" s="16">
        <f>IF(E31="","",F31+G31+L31+M31+N31+O31)</f>
        <v/>
      </c>
      <c r="Q31" s="16">
        <f>IF(E31="","",E31-P31)</f>
        <v/>
      </c>
      <c r="R31" s="17">
        <f>IF(E31="","",IFERROR(Q31/E31,""))</f>
        <v/>
      </c>
      <c r="S31" s="18">
        <f>IF(E31="","",IF(R31&gt;=$E$2+0.05,"◎",IF(R31&gt;=$E$2,"○",IF(R31&gt;=0.1,"△","×"))))</f>
        <v/>
      </c>
    </row>
    <row r="32">
      <c r="A32" s="19" t="n"/>
      <c r="B32" s="19" t="n"/>
      <c r="C32" s="19" t="n"/>
      <c r="D32" s="19" t="n"/>
      <c r="E32" s="20" t="n"/>
      <c r="F32" s="20" t="n"/>
      <c r="G32" s="20" t="n"/>
      <c r="H32" s="14">
        <f>IF(D32="","",IFERROR(INDEX(チャネル料率!$B$5:$B$9,MATCH(D32,チャネル料率!$A$5:$A$9,0)),""))</f>
        <v/>
      </c>
      <c r="I32" s="14">
        <f>IF(D32="","",IFERROR(INDEX(チャネル料率!$C$5:$C$9,MATCH(D32,チャネル料率!$A$5:$A$9,0)),""))</f>
        <v/>
      </c>
      <c r="J32" s="21" t="n"/>
      <c r="K32" s="21" t="n"/>
      <c r="L32" s="16">
        <f>IF(E32="","",E32*H32)</f>
        <v/>
      </c>
      <c r="M32" s="16">
        <f>IF(E32="","",E32*I32)</f>
        <v/>
      </c>
      <c r="N32" s="16">
        <f>IF(E32="","",(F32+G32)*J32)</f>
        <v/>
      </c>
      <c r="O32" s="16">
        <f>IF(E32="","",E32*K32)</f>
        <v/>
      </c>
      <c r="P32" s="16">
        <f>IF(E32="","",F32+G32+L32+M32+N32+O32)</f>
        <v/>
      </c>
      <c r="Q32" s="16">
        <f>IF(E32="","",E32-P32)</f>
        <v/>
      </c>
      <c r="R32" s="17">
        <f>IF(E32="","",IFERROR(Q32/E32,""))</f>
        <v/>
      </c>
      <c r="S32" s="18">
        <f>IF(E32="","",IF(R32&gt;=$E$2+0.05,"◎",IF(R32&gt;=$E$2,"○",IF(R32&gt;=0.1,"△","×"))))</f>
        <v/>
      </c>
    </row>
    <row r="33">
      <c r="A33" s="19" t="n"/>
      <c r="B33" s="19" t="n"/>
      <c r="C33" s="19" t="n"/>
      <c r="D33" s="19" t="n"/>
      <c r="E33" s="20" t="n"/>
      <c r="F33" s="20" t="n"/>
      <c r="G33" s="20" t="n"/>
      <c r="H33" s="14">
        <f>IF(D33="","",IFERROR(INDEX(チャネル料率!$B$5:$B$9,MATCH(D33,チャネル料率!$A$5:$A$9,0)),""))</f>
        <v/>
      </c>
      <c r="I33" s="14">
        <f>IF(D33="","",IFERROR(INDEX(チャネル料率!$C$5:$C$9,MATCH(D33,チャネル料率!$A$5:$A$9,0)),""))</f>
        <v/>
      </c>
      <c r="J33" s="21" t="n"/>
      <c r="K33" s="21" t="n"/>
      <c r="L33" s="16">
        <f>IF(E33="","",E33*H33)</f>
        <v/>
      </c>
      <c r="M33" s="16">
        <f>IF(E33="","",E33*I33)</f>
        <v/>
      </c>
      <c r="N33" s="16">
        <f>IF(E33="","",(F33+G33)*J33)</f>
        <v/>
      </c>
      <c r="O33" s="16">
        <f>IF(E33="","",E33*K33)</f>
        <v/>
      </c>
      <c r="P33" s="16">
        <f>IF(E33="","",F33+G33+L33+M33+N33+O33)</f>
        <v/>
      </c>
      <c r="Q33" s="16">
        <f>IF(E33="","",E33-P33)</f>
        <v/>
      </c>
      <c r="R33" s="17">
        <f>IF(E33="","",IFERROR(Q33/E33,""))</f>
        <v/>
      </c>
      <c r="S33" s="18">
        <f>IF(E33="","",IF(R33&gt;=$E$2+0.05,"◎",IF(R33&gt;=$E$2,"○",IF(R33&gt;=0.1,"△","×"))))</f>
        <v/>
      </c>
    </row>
    <row r="34">
      <c r="A34" s="19" t="n"/>
      <c r="B34" s="19" t="n"/>
      <c r="C34" s="19" t="n"/>
      <c r="D34" s="19" t="n"/>
      <c r="E34" s="20" t="n"/>
      <c r="F34" s="20" t="n"/>
      <c r="G34" s="20" t="n"/>
      <c r="H34" s="14">
        <f>IF(D34="","",IFERROR(INDEX(チャネル料率!$B$5:$B$9,MATCH(D34,チャネル料率!$A$5:$A$9,0)),""))</f>
        <v/>
      </c>
      <c r="I34" s="14">
        <f>IF(D34="","",IFERROR(INDEX(チャネル料率!$C$5:$C$9,MATCH(D34,チャネル料率!$A$5:$A$9,0)),""))</f>
        <v/>
      </c>
      <c r="J34" s="21" t="n"/>
      <c r="K34" s="21" t="n"/>
      <c r="L34" s="16">
        <f>IF(E34="","",E34*H34)</f>
        <v/>
      </c>
      <c r="M34" s="16">
        <f>IF(E34="","",E34*I34)</f>
        <v/>
      </c>
      <c r="N34" s="16">
        <f>IF(E34="","",(F34+G34)*J34)</f>
        <v/>
      </c>
      <c r="O34" s="16">
        <f>IF(E34="","",E34*K34)</f>
        <v/>
      </c>
      <c r="P34" s="16">
        <f>IF(E34="","",F34+G34+L34+M34+N34+O34)</f>
        <v/>
      </c>
      <c r="Q34" s="16">
        <f>IF(E34="","",E34-P34)</f>
        <v/>
      </c>
      <c r="R34" s="17">
        <f>IF(E34="","",IFERROR(Q34/E34,""))</f>
        <v/>
      </c>
      <c r="S34" s="18">
        <f>IF(E34="","",IF(R34&gt;=$E$2+0.05,"◎",IF(R34&gt;=$E$2,"○",IF(R34&gt;=0.1,"△","×"))))</f>
        <v/>
      </c>
    </row>
    <row r="36">
      <c r="A36" s="8" t="inlineStr">
        <is>
          <t>集計（記入済みのみ）</t>
        </is>
      </c>
      <c r="P36" s="22" t="inlineStr">
        <is>
          <t>平均→</t>
        </is>
      </c>
      <c r="Q36" s="23">
        <f>IFERROR(AVERAGE(Q5:Q34),0)</f>
        <v/>
      </c>
      <c r="R36" s="24">
        <f>IFERROR(AVERAGEIF(E5:E34,"&lt;&gt;",R5:R34),0)</f>
        <v/>
      </c>
    </row>
    <row r="37">
      <c r="P37" s="22" t="inlineStr">
        <is>
          <t>採用件数(○◎)→</t>
        </is>
      </c>
      <c r="Q37" s="25">
        <f>COUNTIF(S5:S34,"○")+COUNTIF(S5:S34,"◎")</f>
        <v/>
      </c>
    </row>
  </sheetData>
  <mergeCells count="3">
    <mergeCell ref="A2:D2"/>
    <mergeCell ref="F2:S2"/>
    <mergeCell ref="A1:S1"/>
  </mergeCells>
  <conditionalFormatting sqref="S5:S34">
    <cfRule type="cellIs" priority="1" operator="equal" dxfId="0">
      <formula>"◎"</formula>
    </cfRule>
    <cfRule type="cellIs" priority="2" operator="equal" dxfId="0">
      <formula>"○"</formula>
    </cfRule>
    <cfRule type="cellIs" priority="3" operator="equal" dxfId="1">
      <formula>"△"</formula>
    </cfRule>
    <cfRule type="cellIs" priority="4" operator="equal" dxfId="2">
      <formula>"×"</formula>
    </cfRule>
  </conditionalFormatting>
  <dataValidations count="1">
    <dataValidation sqref="D5:D34" showDropDown="0" showInputMessage="0" showErrorMessage="0" allowBlank="1" type="list">
      <formula1>=チャネル料率!$A$5:$A$9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6" t="inlineStr">
        <is>
          <t>NETSEA 粗利計算シート — 使い方</t>
        </is>
      </c>
    </row>
    <row r="2">
      <c r="A2" s="27" t="inlineStr"/>
    </row>
    <row r="3">
      <c r="A3" s="28" t="inlineStr">
        <is>
          <t>【手順】</t>
        </is>
      </c>
    </row>
    <row r="4">
      <c r="A4" s="27" t="inlineStr">
        <is>
          <t>1. 「チャネル料率」タブの黄色セルを、自分の契約プラン・出品カテゴリの実際の料率に書き換える。</t>
        </is>
      </c>
    </row>
    <row r="5">
      <c r="A5" s="27" t="inlineStr">
        <is>
          <t>2. 「粗利計算」タブに、NETSEAで見つけた商品を1行ずつ入力する（青字の列だけ）。</t>
        </is>
      </c>
    </row>
    <row r="6">
      <c r="A6" s="27" t="inlineStr">
        <is>
          <t>3. 販売チャネルはプルダウンから選択。モール手数料率・決済手数料率は自動で入る（緑字）。</t>
        </is>
      </c>
    </row>
    <row r="7">
      <c r="A7" s="27" t="inlineStr">
        <is>
          <t>4. 粗利率と判定（◎○△×）が自動計算される。○以上だけを実際に出品候補にする。</t>
        </is>
      </c>
    </row>
    <row r="8">
      <c r="A8" s="27" t="inlineStr"/>
    </row>
    <row r="9">
      <c r="A9" s="28" t="inlineStr">
        <is>
          <t>【色の意味】</t>
        </is>
      </c>
    </row>
    <row r="10">
      <c r="A10" s="29" t="inlineStr">
        <is>
          <t>青字 … あなたが手入力する数字</t>
        </is>
      </c>
    </row>
    <row r="11">
      <c r="A11" s="30" t="inlineStr">
        <is>
          <t>緑字（斜体）… チャネルから自動で入る料率（触らない）</t>
        </is>
      </c>
    </row>
    <row r="12">
      <c r="A12" s="27" t="inlineStr">
        <is>
          <t>黒字 … 自動計算（触らない）</t>
        </is>
      </c>
    </row>
    <row r="13">
      <c r="A13" s="31" t="inlineStr">
        <is>
          <t>黄色セル … 契約内容に合わせて必ず確認・書き換える前提値</t>
        </is>
      </c>
    </row>
    <row r="14">
      <c r="A14" s="27" t="inlineStr"/>
    </row>
    <row r="15">
      <c r="A15" s="28" t="inlineStr">
        <is>
          <t>【計算式】</t>
        </is>
      </c>
    </row>
    <row r="16">
      <c r="A16" s="27" t="inlineStr">
        <is>
          <t>粗利額 = 販売価格 −（商品原価 + 仕入送料 + モール手数料 + 決済手数料 + 返品損 + 広告費）</t>
        </is>
      </c>
    </row>
    <row r="17">
      <c r="A17" s="27" t="inlineStr">
        <is>
          <t>粗利率 = 粗利額 ÷ 販売価格</t>
        </is>
      </c>
    </row>
    <row r="18">
      <c r="A18" s="27" t="inlineStr">
        <is>
          <t>返品損 = 想定返品率 ×（商品原価 + 仕入送料）</t>
        </is>
      </c>
    </row>
    <row r="19">
      <c r="A19" s="27" t="inlineStr">
        <is>
          <t>判定 = 粗利率が「目標粗利率(既定15%)」以上なら ○、+5%以上で ◎、目標未満は △、10%未満は ×</t>
        </is>
      </c>
    </row>
    <row r="20">
      <c r="A20" s="27" t="inlineStr"/>
    </row>
    <row r="21">
      <c r="A21" s="28" t="inlineStr">
        <is>
          <t>【注意点】</t>
        </is>
      </c>
    </row>
    <row r="22">
      <c r="A22" s="32" t="inlineStr">
        <is>
          <t>・価格はすべて税込・同一基準で入力してください（税抜で統一しても可。混在させない）。</t>
        </is>
      </c>
    </row>
    <row r="23">
      <c r="A23" s="32" t="inlineStr">
        <is>
          <t>・消費税の納税義務がある場合、実際の手残りはさらに小さくなります。心配なら目標粗利率を高めに。</t>
        </is>
      </c>
    </row>
    <row r="24">
      <c r="A24" s="27" t="inlineStr">
        <is>
          <t>・Amazonは販売手数料に決済分を含むため、決済手数料率は0にしています（チャネル料率タブ参照）。</t>
        </is>
      </c>
    </row>
    <row r="25">
      <c r="A25" s="32" t="inlineStr">
        <is>
          <t>・料率は2026年7月時点の一般的な目安です。最新の公式情報・RMS/ご契約内容で必ずご確認ください。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2026-07-25T07:01:01Z</dcterms:created>
  <dcterms:modified xsi:type="dcterms:W3CDTF">2026-07-25T07:01:01Z</dcterms:modified>
</cp:coreProperties>
</file>